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g111056246_365_nchu_edu_tw/Documents/桌面/mmsk/"/>
    </mc:Choice>
  </mc:AlternateContent>
  <xr:revisionPtr revIDLastSave="14" documentId="13_ncr:1_{D1F64587-E64E-406B-B20F-19DC34761F3B}" xr6:coauthVersionLast="47" xr6:coauthVersionMax="47" xr10:uidLastSave="{F58D14E1-4E3B-409A-8727-C3EC61142DB8}"/>
  <bookViews>
    <workbookView xWindow="-103" yWindow="-103" windowWidth="33120" windowHeight="18000" xr2:uid="{C52D44E0-DCCF-4594-A3A1-6949C96A73A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C15" i="1"/>
  <c r="D15" i="1"/>
  <c r="E15" i="1"/>
  <c r="B15" i="1"/>
  <c r="C23" i="1"/>
  <c r="D23" i="1"/>
  <c r="E23" i="1"/>
  <c r="B23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4" i="1"/>
  <c r="D24" i="1"/>
  <c r="E24" i="1"/>
  <c r="B16" i="1"/>
  <c r="B17" i="1"/>
  <c r="B18" i="1"/>
  <c r="B19" i="1"/>
  <c r="B20" i="1"/>
  <c r="B21" i="1"/>
  <c r="B22" i="1"/>
  <c r="B24" i="1"/>
  <c r="H18" i="1" l="1"/>
</calcChain>
</file>

<file path=xl/sharedStrings.xml><?xml version="1.0" encoding="utf-8"?>
<sst xmlns="http://schemas.openxmlformats.org/spreadsheetml/2006/main" count="19" uniqueCount="14">
  <si>
    <t>L</t>
    <phoneticPr fontId="1" type="noConversion"/>
  </si>
  <si>
    <t>Lq</t>
    <phoneticPr fontId="1" type="noConversion"/>
  </si>
  <si>
    <t>W</t>
    <phoneticPr fontId="1" type="noConversion"/>
  </si>
  <si>
    <t>Wq</t>
    <phoneticPr fontId="1" type="noConversion"/>
  </si>
  <si>
    <t>數學分析</t>
    <phoneticPr fontId="1" type="noConversion"/>
  </si>
  <si>
    <t>模擬</t>
    <phoneticPr fontId="1" type="noConversion"/>
  </si>
  <si>
    <t>λ</t>
    <phoneticPr fontId="1" type="noConversion"/>
  </si>
  <si>
    <t>平均誤差</t>
    <phoneticPr fontId="1" type="noConversion"/>
  </si>
  <si>
    <t>%</t>
    <phoneticPr fontId="1" type="noConversion"/>
  </si>
  <si>
    <t>最大誤差</t>
    <phoneticPr fontId="1" type="noConversion"/>
  </si>
  <si>
    <t>誤差</t>
    <phoneticPr fontId="1" type="noConversion"/>
  </si>
  <si>
    <t>k=8</t>
    <phoneticPr fontId="1" type="noConversion"/>
  </si>
  <si>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新細明體"/>
        <family val="2"/>
        <charset val="136"/>
        <scheme val="minor"/>
      </rPr>
      <t>=2</t>
    </r>
    <phoneticPr fontId="1" type="noConversion"/>
  </si>
  <si>
    <t>s=2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</si>
</sst>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1"/>
      <charset val="161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Calibri"/>
      <family val="2"/>
      <charset val="161"/>
    </font>
    <font>
      <sz val="12"/>
      <color theme="1"/>
      <name val="新細明體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0" xfId="0" applyAlignment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Fill="1" applyBorder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4" fillId="0" borderId="11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L</a:t>
            </a:r>
            <a:endParaRPr lang="zh-TW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6298218404517619E-2"/>
          <c:y val="0.14014255665713293"/>
          <c:w val="0.69426946631671038"/>
          <c:h val="0.63925662763405966"/>
        </c:manualLayout>
      </c:layout>
      <c:lineChart>
        <c:grouping val="standard"/>
        <c:varyColors val="0"/>
        <c:ser>
          <c:idx val="0"/>
          <c:order val="0"/>
          <c:tx>
            <c:v>math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工作表1!$B$3:$B$14</c15:sqref>
                  </c15:fullRef>
                </c:ext>
              </c:extLst>
              <c:f>工作表1!$B$3:$B$12</c:f>
              <c:numCache>
                <c:formatCode>General</c:formatCode>
                <c:ptCount val="10"/>
                <c:pt idx="0">
                  <c:v>2.8924228200000002</c:v>
                </c:pt>
                <c:pt idx="1">
                  <c:v>5.4655311199999996</c:v>
                </c:pt>
                <c:pt idx="2">
                  <c:v>7.1172884600000001</c:v>
                </c:pt>
                <c:pt idx="3">
                  <c:v>8.1524970400000001</c:v>
                </c:pt>
                <c:pt idx="4">
                  <c:v>8.6969821799999991</c:v>
                </c:pt>
                <c:pt idx="5">
                  <c:v>9.0075739099999996</c:v>
                </c:pt>
                <c:pt idx="6">
                  <c:v>9.2022392400000008</c:v>
                </c:pt>
                <c:pt idx="7">
                  <c:v>9.3340883600000009</c:v>
                </c:pt>
                <c:pt idx="8">
                  <c:v>9.4288544299999995</c:v>
                </c:pt>
                <c:pt idx="9">
                  <c:v>9.5001157200000002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60-4087-9FD3-F6363EC3F8EA}"/>
            </c:ext>
          </c:extLst>
        </c:ser>
        <c:ser>
          <c:idx val="1"/>
          <c:order val="1"/>
          <c:tx>
            <c:v>simulation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工作表1!$F$3:$F$14</c15:sqref>
                  </c15:fullRef>
                </c:ext>
              </c:extLst>
              <c:f>工作表1!$F$3:$F$12</c:f>
              <c:numCache>
                <c:formatCode>General</c:formatCode>
                <c:ptCount val="10"/>
                <c:pt idx="0">
                  <c:v>2.84973352</c:v>
                </c:pt>
                <c:pt idx="1">
                  <c:v>5.4690987</c:v>
                </c:pt>
                <c:pt idx="2">
                  <c:v>7.11889269</c:v>
                </c:pt>
                <c:pt idx="3">
                  <c:v>8.1527226499999994</c:v>
                </c:pt>
                <c:pt idx="4">
                  <c:v>8.7136635200000008</c:v>
                </c:pt>
                <c:pt idx="5">
                  <c:v>9.0129429600000002</c:v>
                </c:pt>
                <c:pt idx="6">
                  <c:v>9.2146222800000004</c:v>
                </c:pt>
                <c:pt idx="7">
                  <c:v>9.3386938399999995</c:v>
                </c:pt>
                <c:pt idx="8">
                  <c:v>9.4286919200000003</c:v>
                </c:pt>
                <c:pt idx="9">
                  <c:v>9.5072626600000003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60-4087-9FD3-F6363EC3F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173840"/>
        <c:axId val="818172176"/>
      </c:lineChart>
      <c:catAx>
        <c:axId val="8181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800"/>
                  <a:t>λ</a:t>
                </a:r>
                <a:endParaRPr lang="zh-TW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2176"/>
        <c:crosses val="autoZero"/>
        <c:auto val="1"/>
        <c:lblAlgn val="ctr"/>
        <c:lblOffset val="100"/>
        <c:noMultiLvlLbl val="0"/>
      </c:catAx>
      <c:valAx>
        <c:axId val="8181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/>
                  <a:t>L</a:t>
                </a:r>
                <a:endParaRPr lang="zh-TW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35556350910685"/>
          <c:y val="6.8442586156036378E-2"/>
          <c:w val="0.19459595959595963"/>
          <c:h val="0.271815721632956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Lq</a:t>
            </a:r>
            <a:endParaRPr lang="zh-TW" altLang="en-US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04272007104112"/>
          <c:y val="0.16040996317022546"/>
          <c:w val="0.67516724853440391"/>
          <c:h val="0.61911738645434666"/>
        </c:manualLayout>
      </c:layout>
      <c:lineChart>
        <c:grouping val="standard"/>
        <c:varyColors val="0"/>
        <c:ser>
          <c:idx val="0"/>
          <c:order val="0"/>
          <c:tx>
            <c:v>math</c:v>
          </c:tx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工作表1!$C$3:$C$14</c15:sqref>
                  </c15:fullRef>
                </c:ext>
              </c:extLst>
              <c:f>工作表1!$C$3:$C$12</c:f>
              <c:numCache>
                <c:formatCode>General</c:formatCode>
                <c:ptCount val="10"/>
                <c:pt idx="0">
                  <c:v>1.4177812000000001</c:v>
                </c:pt>
                <c:pt idx="1">
                  <c:v>3.63451397</c:v>
                </c:pt>
                <c:pt idx="2">
                  <c:v>5.1707756700000003</c:v>
                </c:pt>
                <c:pt idx="3">
                  <c:v>6.1671602099999996</c:v>
                </c:pt>
                <c:pt idx="4">
                  <c:v>6.7013699500000001</c:v>
                </c:pt>
                <c:pt idx="5">
                  <c:v>7.0090398199999999</c:v>
                </c:pt>
                <c:pt idx="6">
                  <c:v>7.2027823399999997</c:v>
                </c:pt>
                <c:pt idx="7">
                  <c:v>7.3343085800000001</c:v>
                </c:pt>
                <c:pt idx="8">
                  <c:v>7.4289509000000002</c:v>
                </c:pt>
                <c:pt idx="9">
                  <c:v>7.5001608900000001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D6-4F34-A05F-D8B7BE2D82A1}"/>
            </c:ext>
          </c:extLst>
        </c:ser>
        <c:ser>
          <c:idx val="1"/>
          <c:order val="1"/>
          <c:tx>
            <c:v>simulation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工作表1!$G$3:$G$15</c15:sqref>
                  </c15:fullRef>
                </c:ext>
              </c:extLst>
              <c:f>工作表1!$G$3:$G$12</c:f>
              <c:numCache>
                <c:formatCode>General</c:formatCode>
                <c:ptCount val="10"/>
                <c:pt idx="0">
                  <c:v>1.41429147</c:v>
                </c:pt>
                <c:pt idx="1">
                  <c:v>3.6540196699999998</c:v>
                </c:pt>
                <c:pt idx="2">
                  <c:v>5.1806440199999999</c:v>
                </c:pt>
                <c:pt idx="3">
                  <c:v>6.1690303799999997</c:v>
                </c:pt>
                <c:pt idx="4">
                  <c:v>6.71883593</c:v>
                </c:pt>
                <c:pt idx="5">
                  <c:v>7.0146593599999996</c:v>
                </c:pt>
                <c:pt idx="6">
                  <c:v>7.2153286000000003</c:v>
                </c:pt>
                <c:pt idx="7">
                  <c:v>7.3389932699999996</c:v>
                </c:pt>
                <c:pt idx="8">
                  <c:v>7.4288554199999997</c:v>
                </c:pt>
                <c:pt idx="9">
                  <c:v>7.5073395100000004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D6-4F34-A05F-D8B7BE2D8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173840"/>
        <c:axId val="818172176"/>
      </c:lineChart>
      <c:catAx>
        <c:axId val="8181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800"/>
                  <a:t>λ</a:t>
                </a:r>
                <a:endParaRPr lang="zh-TW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2176"/>
        <c:crosses val="autoZero"/>
        <c:auto val="1"/>
        <c:lblAlgn val="ctr"/>
        <c:lblOffset val="100"/>
        <c:noMultiLvlLbl val="0"/>
      </c:catAx>
      <c:valAx>
        <c:axId val="8181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/>
                  <a:t>Lq</a:t>
                </a:r>
                <a:endParaRPr lang="zh-TW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435556350910685"/>
          <c:y val="0.11730809369559805"/>
          <c:w val="0.19175554760200431"/>
          <c:h val="0.13913525588859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W</a:t>
            </a:r>
            <a:endParaRPr lang="zh-TW" altLang="en-US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65408086934125"/>
          <c:y val="0.12602023798393391"/>
          <c:w val="0.6576867357066164"/>
          <c:h val="0.65666559694345539"/>
        </c:manualLayout>
      </c:layout>
      <c:lineChart>
        <c:grouping val="standard"/>
        <c:varyColors val="0"/>
        <c:ser>
          <c:idx val="0"/>
          <c:order val="0"/>
          <c:tx>
            <c:v>math</c:v>
          </c:tx>
          <c:marker>
            <c:symbol val="none"/>
          </c:marker>
          <c:val>
            <c:numRef>
              <c:f>工作表1!$D$3:$D$12</c:f>
              <c:numCache>
                <c:formatCode>General</c:formatCode>
                <c:ptCount val="10"/>
                <c:pt idx="0">
                  <c:v>0.98072060000000005</c:v>
                </c:pt>
                <c:pt idx="1">
                  <c:v>1.4924849600000001</c:v>
                </c:pt>
                <c:pt idx="2">
                  <c:v>1.8282151799999999</c:v>
                </c:pt>
                <c:pt idx="3">
                  <c:v>2.0531773100000001</c:v>
                </c:pt>
                <c:pt idx="4">
                  <c:v>2.1790260799999999</c:v>
                </c:pt>
                <c:pt idx="5">
                  <c:v>2.2535452299999998</c:v>
                </c:pt>
                <c:pt idx="6">
                  <c:v>2.3011846999999999</c:v>
                </c:pt>
                <c:pt idx="7">
                  <c:v>2.3337790599999999</c:v>
                </c:pt>
                <c:pt idx="8">
                  <c:v>2.35732732</c:v>
                </c:pt>
                <c:pt idx="9">
                  <c:v>2.3750825600000001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E-41DE-971C-1AC4CBF22A71}"/>
            </c:ext>
          </c:extLst>
        </c:ser>
        <c:ser>
          <c:idx val="1"/>
          <c:order val="1"/>
          <c:tx>
            <c:v>simulation</c:v>
          </c:tx>
          <c:marker>
            <c:symbol val="none"/>
          </c:marker>
          <c:val>
            <c:numRef>
              <c:f>工作表1!$H$3:$H$12</c:f>
              <c:numCache>
                <c:formatCode>General</c:formatCode>
                <c:ptCount val="10"/>
                <c:pt idx="0">
                  <c:v>0.97846827999999997</c:v>
                </c:pt>
                <c:pt idx="1">
                  <c:v>1.49269743</c:v>
                </c:pt>
                <c:pt idx="2">
                  <c:v>1.83447746</c:v>
                </c:pt>
                <c:pt idx="3">
                  <c:v>2.05346757</c:v>
                </c:pt>
                <c:pt idx="4">
                  <c:v>2.1880586200000001</c:v>
                </c:pt>
                <c:pt idx="5">
                  <c:v>2.2532921699999999</c:v>
                </c:pt>
                <c:pt idx="6">
                  <c:v>2.3106800999999999</c:v>
                </c:pt>
                <c:pt idx="7">
                  <c:v>2.3405114600000001</c:v>
                </c:pt>
                <c:pt idx="8">
                  <c:v>2.3466366299999999</c:v>
                </c:pt>
                <c:pt idx="9">
                  <c:v>2.3763419899999998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CE-41DE-971C-1AC4CBF22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173840"/>
        <c:axId val="818172176"/>
      </c:lineChart>
      <c:catAx>
        <c:axId val="8181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800"/>
                  <a:t>λ</a:t>
                </a:r>
                <a:endParaRPr lang="zh-TW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2176"/>
        <c:crosses val="autoZero"/>
        <c:auto val="1"/>
        <c:lblAlgn val="ctr"/>
        <c:lblOffset val="100"/>
        <c:noMultiLvlLbl val="0"/>
      </c:catAx>
      <c:valAx>
        <c:axId val="8181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/>
                  <a:t>W</a:t>
                </a:r>
                <a:endParaRPr lang="zh-TW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435556350910685"/>
          <c:y val="0.11730809369559805"/>
          <c:w val="0.1730033572477018"/>
          <c:h val="0.13538779151010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2000"/>
              <a:t>Wq</a:t>
            </a:r>
            <a:endParaRPr lang="zh-TW" altLang="en-US" sz="2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00094761354951"/>
          <c:y val="0.15330974211070947"/>
          <c:w val="0.63385371582987748"/>
          <c:h val="0.6304911891151469"/>
        </c:manualLayout>
      </c:layout>
      <c:lineChart>
        <c:grouping val="standard"/>
        <c:varyColors val="0"/>
        <c:ser>
          <c:idx val="2"/>
          <c:order val="0"/>
          <c:tx>
            <c:v>math</c:v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工作表1!$E$3:$E$14</c15:sqref>
                  </c15:fullRef>
                </c:ext>
              </c:extLst>
              <c:f>工作表1!$E$3:$E$12</c:f>
              <c:numCache>
                <c:formatCode>General</c:formatCode>
                <c:ptCount val="10"/>
                <c:pt idx="0">
                  <c:v>0.4807206</c:v>
                </c:pt>
                <c:pt idx="1">
                  <c:v>0.99248495999999997</c:v>
                </c:pt>
                <c:pt idx="2">
                  <c:v>1.3282151799999999</c:v>
                </c:pt>
                <c:pt idx="3">
                  <c:v>1.5531773099999999</c:v>
                </c:pt>
                <c:pt idx="4">
                  <c:v>1.6790260800000001</c:v>
                </c:pt>
                <c:pt idx="5">
                  <c:v>1.7535452300000001</c:v>
                </c:pt>
                <c:pt idx="6">
                  <c:v>1.8011847000000001</c:v>
                </c:pt>
                <c:pt idx="7">
                  <c:v>1.8337790599999999</c:v>
                </c:pt>
                <c:pt idx="8">
                  <c:v>1.85732732</c:v>
                </c:pt>
                <c:pt idx="9">
                  <c:v>1.8750825600000001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6-41B7-9592-A976B3594B0A}"/>
            </c:ext>
          </c:extLst>
        </c:ser>
        <c:ser>
          <c:idx val="3"/>
          <c:order val="1"/>
          <c:tx>
            <c:v>simulation</c:v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工作表1!$A$3:$A$12</c15:sqref>
                  </c15:fullRef>
                </c:ext>
              </c:extLst>
              <c:f>工作表1!$A$3:$A$12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工作表1!$I$3:$I$14</c15:sqref>
                  </c15:fullRef>
                </c:ext>
              </c:extLst>
              <c:f>工作表1!$I$3:$I$12</c:f>
              <c:numCache>
                <c:formatCode>General</c:formatCode>
                <c:ptCount val="10"/>
                <c:pt idx="0">
                  <c:v>0.47895606000000002</c:v>
                </c:pt>
                <c:pt idx="1">
                  <c:v>0.99383794999999997</c:v>
                </c:pt>
                <c:pt idx="2">
                  <c:v>1.3335096099999999</c:v>
                </c:pt>
                <c:pt idx="3">
                  <c:v>1.55343703</c:v>
                </c:pt>
                <c:pt idx="4">
                  <c:v>1.68700421</c:v>
                </c:pt>
                <c:pt idx="5">
                  <c:v>1.7536852700000001</c:v>
                </c:pt>
                <c:pt idx="6">
                  <c:v>1.80932084</c:v>
                </c:pt>
                <c:pt idx="7">
                  <c:v>1.8393419200000001</c:v>
                </c:pt>
                <c:pt idx="8">
                  <c:v>1.84891732</c:v>
                </c:pt>
                <c:pt idx="9">
                  <c:v>1.8764736399999999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6-41B7-9592-A976B3594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173840"/>
        <c:axId val="818172176"/>
      </c:lineChart>
      <c:catAx>
        <c:axId val="8181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TW" sz="1800"/>
                  <a:t>λ</a:t>
                </a:r>
                <a:endParaRPr lang="zh-TW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2176"/>
        <c:crosses val="autoZero"/>
        <c:auto val="1"/>
        <c:lblAlgn val="ctr"/>
        <c:lblOffset val="100"/>
        <c:noMultiLvlLbl val="0"/>
      </c:catAx>
      <c:valAx>
        <c:axId val="8181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600"/>
                  <a:t>Wq</a:t>
                </a:r>
                <a:endParaRPr lang="zh-TW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817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435556350910685"/>
          <c:y val="0.11730809369559805"/>
          <c:w val="0.18796766881412549"/>
          <c:h val="0.19272772009347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0</xdr:row>
      <xdr:rowOff>92526</xdr:rowOff>
    </xdr:from>
    <xdr:to>
      <xdr:col>17</xdr:col>
      <xdr:colOff>146957</xdr:colOff>
      <xdr:row>15</xdr:row>
      <xdr:rowOff>12096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F97B55E-0408-4842-BDDF-1632663D6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277586</xdr:colOff>
      <xdr:row>0</xdr:row>
      <xdr:rowOff>108855</xdr:rowOff>
    </xdr:from>
    <xdr:to>
      <xdr:col>25</xdr:col>
      <xdr:colOff>146958</xdr:colOff>
      <xdr:row>15</xdr:row>
      <xdr:rowOff>30238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31C07B5-1275-418A-BF7D-F73ACE0BD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347131</xdr:colOff>
      <xdr:row>15</xdr:row>
      <xdr:rowOff>120954</xdr:rowOff>
    </xdr:from>
    <xdr:to>
      <xdr:col>17</xdr:col>
      <xdr:colOff>145746</xdr:colOff>
      <xdr:row>30</xdr:row>
      <xdr:rowOff>105834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434E81C-30E7-460C-9C09-A970DCBCB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271537</xdr:colOff>
      <xdr:row>15</xdr:row>
      <xdr:rowOff>102811</xdr:rowOff>
    </xdr:from>
    <xdr:to>
      <xdr:col>25</xdr:col>
      <xdr:colOff>119138</xdr:colOff>
      <xdr:row>30</xdr:row>
      <xdr:rowOff>104020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A1BACD4-DC15-41B1-A95A-033231654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3021-8DD8-4DAE-A52E-720EFECD9883}">
  <dimension ref="A1:I26"/>
  <sheetViews>
    <sheetView tabSelected="1" zoomScale="90" zoomScaleNormal="90" workbookViewId="0">
      <selection activeCell="AD34" sqref="AD34"/>
    </sheetView>
  </sheetViews>
  <sheetFormatPr defaultRowHeight="16.75" x14ac:dyDescent="0.45"/>
  <cols>
    <col min="1" max="1" width="9.23046875" style="1"/>
  </cols>
  <sheetData>
    <row r="1" spans="1:9" ht="17.149999999999999" thickBot="1" x14ac:dyDescent="0.5">
      <c r="A1" s="7"/>
      <c r="B1" s="36" t="s">
        <v>4</v>
      </c>
      <c r="C1" s="37"/>
      <c r="D1" s="37"/>
      <c r="E1" s="38"/>
      <c r="F1" s="37" t="s">
        <v>5</v>
      </c>
      <c r="G1" s="37"/>
      <c r="H1" s="37"/>
      <c r="I1" s="38"/>
    </row>
    <row r="2" spans="1:9" ht="17.149999999999999" thickBot="1" x14ac:dyDescent="0.5">
      <c r="A2" s="12" t="s">
        <v>6</v>
      </c>
      <c r="B2" s="9" t="s">
        <v>0</v>
      </c>
      <c r="C2" s="31" t="s">
        <v>1</v>
      </c>
      <c r="D2" s="10" t="s">
        <v>2</v>
      </c>
      <c r="E2" s="31" t="s">
        <v>3</v>
      </c>
      <c r="F2" s="9" t="s">
        <v>0</v>
      </c>
      <c r="G2" s="31" t="s">
        <v>1</v>
      </c>
      <c r="H2" s="10" t="s">
        <v>2</v>
      </c>
      <c r="I2" s="31" t="s">
        <v>3</v>
      </c>
    </row>
    <row r="3" spans="1:9" x14ac:dyDescent="0.45">
      <c r="A3" s="4">
        <v>3</v>
      </c>
      <c r="B3" s="5">
        <v>2.8924228200000002</v>
      </c>
      <c r="C3" s="5">
        <v>1.4177812000000001</v>
      </c>
      <c r="D3" s="5">
        <v>0.98072060000000005</v>
      </c>
      <c r="E3" s="5">
        <v>0.4807206</v>
      </c>
      <c r="F3" s="5">
        <v>2.84973352</v>
      </c>
      <c r="G3" s="5">
        <v>1.41429147</v>
      </c>
      <c r="H3" s="5">
        <v>0.97846827999999997</v>
      </c>
      <c r="I3" s="8">
        <v>0.47895606000000002</v>
      </c>
    </row>
    <row r="4" spans="1:9" x14ac:dyDescent="0.45">
      <c r="A4" s="4">
        <v>4</v>
      </c>
      <c r="B4" s="5">
        <v>5.4655311199999996</v>
      </c>
      <c r="C4" s="5">
        <v>3.63451397</v>
      </c>
      <c r="D4" s="5">
        <v>1.4924849600000001</v>
      </c>
      <c r="E4" s="5">
        <v>0.99248495999999997</v>
      </c>
      <c r="F4" s="5">
        <v>5.4690987</v>
      </c>
      <c r="G4" s="5">
        <v>3.6540196699999998</v>
      </c>
      <c r="H4" s="5">
        <v>1.49269743</v>
      </c>
      <c r="I4" s="2">
        <v>0.99383794999999997</v>
      </c>
    </row>
    <row r="5" spans="1:9" x14ac:dyDescent="0.45">
      <c r="A5" s="4">
        <v>5</v>
      </c>
      <c r="B5" s="5">
        <v>7.1172884600000001</v>
      </c>
      <c r="C5" s="5">
        <v>5.1707756700000003</v>
      </c>
      <c r="D5" s="5">
        <v>1.8282151799999999</v>
      </c>
      <c r="E5" s="5">
        <v>1.3282151799999999</v>
      </c>
      <c r="F5" s="5">
        <v>7.11889269</v>
      </c>
      <c r="G5" s="5">
        <v>5.1806440199999999</v>
      </c>
      <c r="H5" s="5">
        <v>1.83447746</v>
      </c>
      <c r="I5" s="2">
        <v>1.3335096099999999</v>
      </c>
    </row>
    <row r="6" spans="1:9" x14ac:dyDescent="0.45">
      <c r="A6" s="4">
        <v>6</v>
      </c>
      <c r="B6" s="5">
        <v>8.1524970400000001</v>
      </c>
      <c r="C6" s="5">
        <v>6.1671602099999996</v>
      </c>
      <c r="D6" s="5">
        <v>2.0531773100000001</v>
      </c>
      <c r="E6" s="5">
        <v>1.5531773099999999</v>
      </c>
      <c r="F6" s="5">
        <v>8.1527226499999994</v>
      </c>
      <c r="G6" s="5">
        <v>6.1690303799999997</v>
      </c>
      <c r="H6" s="5">
        <v>2.05346757</v>
      </c>
      <c r="I6" s="2">
        <v>1.55343703</v>
      </c>
    </row>
    <row r="7" spans="1:9" x14ac:dyDescent="0.45">
      <c r="A7" s="4">
        <v>7</v>
      </c>
      <c r="B7" s="5">
        <v>8.6969821799999991</v>
      </c>
      <c r="C7" s="5">
        <v>6.7013699500000001</v>
      </c>
      <c r="D7" s="5">
        <v>2.1790260799999999</v>
      </c>
      <c r="E7" s="5">
        <v>1.6790260800000001</v>
      </c>
      <c r="F7" s="5">
        <v>8.7136635200000008</v>
      </c>
      <c r="G7" s="5">
        <v>6.71883593</v>
      </c>
      <c r="H7" s="5">
        <v>2.1880586200000001</v>
      </c>
      <c r="I7" s="2">
        <v>1.68700421</v>
      </c>
    </row>
    <row r="8" spans="1:9" x14ac:dyDescent="0.45">
      <c r="A8" s="4">
        <v>8</v>
      </c>
      <c r="B8" s="5">
        <v>9.0075739099999996</v>
      </c>
      <c r="C8" s="5">
        <v>7.0090398199999999</v>
      </c>
      <c r="D8" s="5">
        <v>2.2535452299999998</v>
      </c>
      <c r="E8" s="5">
        <v>1.7535452300000001</v>
      </c>
      <c r="F8" s="5">
        <v>9.0129429600000002</v>
      </c>
      <c r="G8" s="5">
        <v>7.0146593599999996</v>
      </c>
      <c r="H8" s="5">
        <v>2.2532921699999999</v>
      </c>
      <c r="I8" s="2">
        <v>1.7536852700000001</v>
      </c>
    </row>
    <row r="9" spans="1:9" x14ac:dyDescent="0.45">
      <c r="A9" s="4">
        <v>9</v>
      </c>
      <c r="B9" s="5">
        <v>9.2022392400000008</v>
      </c>
      <c r="C9" s="5">
        <v>7.2027823399999997</v>
      </c>
      <c r="D9" s="5">
        <v>2.3011846999999999</v>
      </c>
      <c r="E9" s="5">
        <v>1.8011847000000001</v>
      </c>
      <c r="F9" s="5">
        <v>9.2146222800000004</v>
      </c>
      <c r="G9" s="5">
        <v>7.2153286000000003</v>
      </c>
      <c r="H9" s="5">
        <v>2.3106800999999999</v>
      </c>
      <c r="I9" s="2">
        <v>1.80932084</v>
      </c>
    </row>
    <row r="10" spans="1:9" x14ac:dyDescent="0.45">
      <c r="A10" s="4">
        <v>10</v>
      </c>
      <c r="B10" s="5">
        <v>9.3340883600000009</v>
      </c>
      <c r="C10" s="5">
        <v>7.3343085800000001</v>
      </c>
      <c r="D10" s="5">
        <v>2.3337790599999999</v>
      </c>
      <c r="E10" s="5">
        <v>1.8337790599999999</v>
      </c>
      <c r="F10" s="5">
        <v>9.3386938399999995</v>
      </c>
      <c r="G10" s="5">
        <v>7.3389932699999996</v>
      </c>
      <c r="H10" s="5">
        <v>2.3405114600000001</v>
      </c>
      <c r="I10" s="2">
        <v>1.8393419200000001</v>
      </c>
    </row>
    <row r="11" spans="1:9" x14ac:dyDescent="0.45">
      <c r="A11" s="4">
        <v>11</v>
      </c>
      <c r="B11" s="5">
        <v>9.4288544299999995</v>
      </c>
      <c r="C11" s="5">
        <v>7.4289509000000002</v>
      </c>
      <c r="D11" s="5">
        <v>2.35732732</v>
      </c>
      <c r="E11" s="5">
        <v>1.85732732</v>
      </c>
      <c r="F11" s="5">
        <v>9.4286919200000003</v>
      </c>
      <c r="G11" s="5">
        <v>7.4288554199999997</v>
      </c>
      <c r="H11" s="5">
        <v>2.3466366299999999</v>
      </c>
      <c r="I11" s="2">
        <v>1.84891732</v>
      </c>
    </row>
    <row r="12" spans="1:9" ht="17.149999999999999" thickBot="1" x14ac:dyDescent="0.5">
      <c r="A12" s="11">
        <v>12</v>
      </c>
      <c r="B12" s="6">
        <v>9.5001157200000002</v>
      </c>
      <c r="C12" s="6">
        <v>7.5001608900000001</v>
      </c>
      <c r="D12" s="6">
        <v>2.3750825600000001</v>
      </c>
      <c r="E12" s="6">
        <v>1.8750825600000001</v>
      </c>
      <c r="F12" s="6">
        <v>9.5072626600000003</v>
      </c>
      <c r="G12" s="6">
        <v>7.5073395100000004</v>
      </c>
      <c r="H12" s="6">
        <v>2.3763419899999998</v>
      </c>
      <c r="I12" s="3">
        <v>1.8764736399999999</v>
      </c>
    </row>
    <row r="13" spans="1:9" x14ac:dyDescent="0.45">
      <c r="A13" s="30"/>
      <c r="B13" s="17"/>
      <c r="C13" s="17"/>
      <c r="D13" s="17"/>
      <c r="E13" s="17"/>
      <c r="F13" s="17"/>
      <c r="G13" s="17"/>
      <c r="H13" s="17"/>
      <c r="I13" s="17"/>
    </row>
    <row r="14" spans="1:9" ht="17.149999999999999" thickBot="1" x14ac:dyDescent="0.5">
      <c r="A14" s="30" t="s">
        <v>10</v>
      </c>
      <c r="B14" s="17"/>
      <c r="C14" s="17"/>
      <c r="D14" s="17"/>
      <c r="E14" s="17"/>
      <c r="F14" s="17"/>
      <c r="G14" s="32" t="s">
        <v>12</v>
      </c>
      <c r="H14" s="17"/>
      <c r="I14" s="17"/>
    </row>
    <row r="15" spans="1:9" x14ac:dyDescent="0.45">
      <c r="A15" s="33">
        <v>1</v>
      </c>
      <c r="B15" s="14">
        <f>-(1-B3/F3)*100</f>
        <v>1.4980102420243169</v>
      </c>
      <c r="C15" s="15">
        <f t="shared" ref="C15:E15" si="0">-(1-C3/G3)*100</f>
        <v>0.24674758167071431</v>
      </c>
      <c r="D15" s="15">
        <f t="shared" si="0"/>
        <v>0.23018835112367242</v>
      </c>
      <c r="E15" s="16">
        <f t="shared" si="0"/>
        <v>0.36841375386293951</v>
      </c>
      <c r="G15" s="17" t="s">
        <v>13</v>
      </c>
    </row>
    <row r="16" spans="1:9" x14ac:dyDescent="0.45">
      <c r="A16" s="34">
        <v>2</v>
      </c>
      <c r="B16" s="5">
        <f t="shared" ref="B16:B24" si="1">(1-B4/F4)*100</f>
        <v>6.5231589256198319E-2</v>
      </c>
      <c r="C16" s="17">
        <f t="shared" ref="C16:E24" si="2">(1-C4/G4)*100</f>
        <v>0.53381486038907022</v>
      </c>
      <c r="D16" s="17">
        <f t="shared" si="2"/>
        <v>1.4233963007481698E-2</v>
      </c>
      <c r="E16" s="18">
        <f t="shared" si="2"/>
        <v>0.13613788847568475</v>
      </c>
      <c r="G16" t="s">
        <v>11</v>
      </c>
    </row>
    <row r="17" spans="1:9" x14ac:dyDescent="0.45">
      <c r="A17" s="34">
        <v>3</v>
      </c>
      <c r="B17" s="5">
        <f t="shared" si="1"/>
        <v>2.2534824864739456E-2</v>
      </c>
      <c r="C17" s="17">
        <f t="shared" si="2"/>
        <v>0.19048500460372431</v>
      </c>
      <c r="D17" s="17">
        <f t="shared" si="2"/>
        <v>0.34136587320076073</v>
      </c>
      <c r="E17" s="18">
        <f t="shared" si="2"/>
        <v>0.397029759688039</v>
      </c>
      <c r="G17" s="21" t="s">
        <v>9</v>
      </c>
      <c r="H17" s="26">
        <f>B15</f>
        <v>1.4980102420243169</v>
      </c>
      <c r="I17" s="22" t="s">
        <v>8</v>
      </c>
    </row>
    <row r="18" spans="1:9" x14ac:dyDescent="0.45">
      <c r="A18" s="34">
        <v>4</v>
      </c>
      <c r="B18" s="5">
        <f t="shared" si="1"/>
        <v>2.76729639514528E-3</v>
      </c>
      <c r="C18" s="17">
        <f t="shared" si="2"/>
        <v>3.0315461017393908E-2</v>
      </c>
      <c r="D18" s="17">
        <f t="shared" si="2"/>
        <v>1.413511487790009E-2</v>
      </c>
      <c r="E18" s="18">
        <f t="shared" si="2"/>
        <v>1.671905555129527E-2</v>
      </c>
      <c r="G18" s="27" t="s">
        <v>7</v>
      </c>
      <c r="H18" s="28">
        <f>SUM(B15:E24)/40</f>
        <v>0.21662939296635181</v>
      </c>
      <c r="I18" s="29" t="s">
        <v>8</v>
      </c>
    </row>
    <row r="19" spans="1:9" x14ac:dyDescent="0.45">
      <c r="A19" s="34">
        <v>5</v>
      </c>
      <c r="B19" s="5">
        <f t="shared" si="1"/>
        <v>0.19143888172539203</v>
      </c>
      <c r="C19" s="17">
        <f t="shared" si="2"/>
        <v>0.25995544737167364</v>
      </c>
      <c r="D19" s="17">
        <f t="shared" si="2"/>
        <v>0.4128106951723387</v>
      </c>
      <c r="E19" s="18">
        <f t="shared" si="2"/>
        <v>0.47291701779451634</v>
      </c>
      <c r="G19" s="23"/>
      <c r="H19" s="24"/>
      <c r="I19" s="25"/>
    </row>
    <row r="20" spans="1:9" x14ac:dyDescent="0.45">
      <c r="A20" s="34">
        <v>6</v>
      </c>
      <c r="B20" s="5">
        <f t="shared" si="1"/>
        <v>5.9570442460676887E-2</v>
      </c>
      <c r="C20" s="17">
        <f t="shared" si="2"/>
        <v>8.0111374075331199E-2</v>
      </c>
      <c r="D20" s="17">
        <f t="shared" si="2"/>
        <v>-1.1230678532014871E-2</v>
      </c>
      <c r="E20" s="18">
        <f t="shared" si="2"/>
        <v>7.9854693653236275E-3</v>
      </c>
    </row>
    <row r="21" spans="1:9" x14ac:dyDescent="0.45">
      <c r="A21" s="34">
        <v>7</v>
      </c>
      <c r="B21" s="5">
        <f t="shared" si="1"/>
        <v>0.1343846727920317</v>
      </c>
      <c r="C21" s="17">
        <f t="shared" si="2"/>
        <v>0.173883418143983</v>
      </c>
      <c r="D21" s="17">
        <f t="shared" si="2"/>
        <v>0.41093529130232787</v>
      </c>
      <c r="E21" s="18">
        <f t="shared" si="2"/>
        <v>0.44967922880940758</v>
      </c>
    </row>
    <row r="22" spans="1:9" x14ac:dyDescent="0.45">
      <c r="A22" s="34">
        <v>8</v>
      </c>
      <c r="B22" s="5">
        <f t="shared" si="1"/>
        <v>4.9316104360030977E-2</v>
      </c>
      <c r="C22" s="17">
        <f t="shared" si="2"/>
        <v>6.3832869545599191E-2</v>
      </c>
      <c r="D22" s="17">
        <f t="shared" si="2"/>
        <v>0.28764653004519358</v>
      </c>
      <c r="E22" s="18">
        <f t="shared" si="2"/>
        <v>0.30243751526090046</v>
      </c>
    </row>
    <row r="23" spans="1:9" x14ac:dyDescent="0.45">
      <c r="A23" s="34">
        <v>9</v>
      </c>
      <c r="B23" s="5">
        <f>-(1-B11/F11)*100</f>
        <v>1.7235688829053686E-3</v>
      </c>
      <c r="C23" s="17">
        <f t="shared" ref="C23:E23" si="3">-(1-C11/G11)*100</f>
        <v>1.2852585573819297E-3</v>
      </c>
      <c r="D23" s="17">
        <f t="shared" si="3"/>
        <v>0.45557500736703727</v>
      </c>
      <c r="E23" s="18">
        <f t="shared" si="3"/>
        <v>0.45486079388341594</v>
      </c>
    </row>
    <row r="24" spans="1:9" ht="17.149999999999999" thickBot="1" x14ac:dyDescent="0.5">
      <c r="A24" s="35">
        <v>10</v>
      </c>
      <c r="B24" s="6">
        <f t="shared" si="1"/>
        <v>7.5173477956691492E-2</v>
      </c>
      <c r="C24" s="13">
        <f t="shared" si="2"/>
        <v>9.5621358144759583E-2</v>
      </c>
      <c r="D24" s="13">
        <f t="shared" si="2"/>
        <v>5.2998684755800607E-2</v>
      </c>
      <c r="E24" s="19">
        <f t="shared" si="2"/>
        <v>7.4132669404292084E-2</v>
      </c>
    </row>
    <row r="26" spans="1:9" x14ac:dyDescent="0.45">
      <c r="C26" s="20"/>
    </row>
  </sheetData>
  <mergeCells count="2">
    <mergeCell ref="B1:E1"/>
    <mergeCell ref="F1:I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</dc:creator>
  <cp:lastModifiedBy>willy wu</cp:lastModifiedBy>
  <dcterms:created xsi:type="dcterms:W3CDTF">2022-12-29T09:05:17Z</dcterms:created>
  <dcterms:modified xsi:type="dcterms:W3CDTF">2023-01-01T11:53:50Z</dcterms:modified>
</cp:coreProperties>
</file>